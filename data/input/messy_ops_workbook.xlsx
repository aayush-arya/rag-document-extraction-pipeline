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ipments_Raw" sheetId="2" state="visible" r:id="rId4"/>
    <sheet name="Fleet" sheetId="3" state="visible" r:id="rId5"/>
    <sheet name="Budget" sheetId="4" state="visible" r:id="rId6"/>
    <sheet name="Paste_dump" sheetId="5" state="visible" r:id="rId7"/>
    <sheet name="Errata" sheetId="6" state="visible" r:id="rId8"/>
    <sheet name="Charts" sheetId="7" state="visible" r:id="rId9"/>
    <sheet name="_lookup" sheetId="8" state="hidden" r:id="rId10"/>
    <sheet name="_codes" sheetId="9" state="hidden" r:id="rId11"/>
  </sheets>
  <definedNames>
    <definedName function="false" hidden="false" name="FX_USDINR" vbProcedure="false">_lookup!$B$2</definedName>
    <definedName function="false" hidden="false" name="TARGET_MARGIN" vbProcedure="false">Summary!$B$24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Draft. Final board number is 955.0 (see Errata)</t>
        </r>
      </text>
    </comment>
    <comment ref="D6" authorId="0">
      <text>
        <r>
          <rPr>
            <sz val="10"/>
            <rFont val="Arial"/>
            <family val="2"/>
          </rPr>
          <t xml:space="preserve">Capex revised to 480.0 after CFO call 24-Apr</t>
        </r>
      </text>
    </comment>
  </commentList>
</comments>
</file>

<file path=xl/sharedStrings.xml><?xml version="1.0" encoding="utf-8"?>
<sst xmlns="http://schemas.openxmlformats.org/spreadsheetml/2006/main" count="275" uniqueCount="218">
  <si>
    <t xml:space="preserve">MERIDIAN FREIGHT - FY26 OPS SUMMARY (do not circulate)</t>
  </si>
  <si>
    <t xml:space="preserve">As of 31-Mar-26  |  INR cr unless stated  |  refreshed ??</t>
  </si>
  <si>
    <t xml:space="preserve">Table 1 - Regional scorecard</t>
  </si>
  <si>
    <t xml:space="preserve">Quarterly service</t>
  </si>
  <si>
    <t xml:space="preserve">Region</t>
  </si>
  <si>
    <t xml:space="preserve">Revenue</t>
  </si>
  <si>
    <t xml:space="preserve">EBITDA</t>
  </si>
  <si>
    <t xml:space="preserve">Margin %</t>
  </si>
  <si>
    <t xml:space="preserve">Fleet</t>
  </si>
  <si>
    <t xml:space="preserve">Quarter</t>
  </si>
  <si>
    <t xml:space="preserve">OTD %</t>
  </si>
  <si>
    <t xml:space="preserve">Claims</t>
  </si>
  <si>
    <t xml:space="preserve">North</t>
  </si>
  <si>
    <t xml:space="preserve">Q1</t>
  </si>
  <si>
    <t xml:space="preserve">South</t>
  </si>
  <si>
    <t xml:space="preserve">Q2</t>
  </si>
  <si>
    <t xml:space="preserve">West</t>
  </si>
  <si>
    <t xml:space="preserve">Q3</t>
  </si>
  <si>
    <t xml:space="preserve">East</t>
  </si>
  <si>
    <t xml:space="preserve">Q4</t>
  </si>
  <si>
    <t xml:space="preserve">Central</t>
  </si>
  <si>
    <t xml:space="preserve">Total</t>
  </si>
  <si>
    <t xml:space="preserve">Headcount</t>
  </si>
  <si>
    <t xml:space="preserve">Table 3 - Top clients (INR cr, annual)</t>
  </si>
  <si>
    <t xml:space="preserve">Attrition %</t>
  </si>
  <si>
    <t xml:space="preserve">Client</t>
  </si>
  <si>
    <t xml:space="preserve">Value</t>
  </si>
  <si>
    <t xml:space="preserve">% of rev</t>
  </si>
  <si>
    <t xml:space="preserve">Renewal</t>
  </si>
  <si>
    <t xml:space="preserve">Rating</t>
  </si>
  <si>
    <t xml:space="preserve">CRISIL AA-/Stable</t>
  </si>
  <si>
    <t xml:space="preserve">Tarang Retail</t>
  </si>
  <si>
    <t xml:space="preserve">Sep-27</t>
  </si>
  <si>
    <t xml:space="preserve">AutoMajor</t>
  </si>
  <si>
    <t xml:space="preserve">Mar-28</t>
  </si>
  <si>
    <t xml:space="preserve">Vaidya Pharma</t>
  </si>
  <si>
    <t xml:space="preserve">Jun-26</t>
  </si>
  <si>
    <t xml:space="preserve">Orion Elec.</t>
  </si>
  <si>
    <t xml:space="preserve">Jan-27</t>
  </si>
  <si>
    <t xml:space="preserve">Hari Agro</t>
  </si>
  <si>
    <t xml:space="preserve">Dec-26</t>
  </si>
  <si>
    <t xml:space="preserve">Total (as typed)</t>
  </si>
  <si>
    <t xml:space="preserve">NOTE: West includes Nagpur TS from Q2 (restated) - see Errata sheet</t>
  </si>
  <si>
    <t xml:space="preserve">NOTE: EBITDA margin target 17.0% (board) / 17.5% (mgmt)</t>
  </si>
  <si>
    <t xml:space="preserve">Red fill on other sheets = disputed / do not use</t>
  </si>
  <si>
    <t xml:space="preserve">TMS EXPORT - SHIPMENT LEDGER</t>
  </si>
  <si>
    <t xml:space="preserve">Run 77f3a | exported 2026-04-18 02:11 | rows=?? | filter: Apr-Jun 2025</t>
  </si>
  <si>
    <t xml:space="preserve">Shipment ID</t>
  </si>
  <si>
    <t xml:space="preserve">Hub</t>
  </si>
  <si>
    <t xml:space="preserve">Ship date</t>
  </si>
  <si>
    <t xml:space="preserve">Mode</t>
  </si>
  <si>
    <t xml:space="preserve">Weight</t>
  </si>
  <si>
    <t xml:space="preserve">Revenue (INR)</t>
  </si>
  <si>
    <t xml:space="preserve">Status</t>
  </si>
  <si>
    <t xml:space="preserve">int_flag</t>
  </si>
  <si>
    <t xml:space="preserve">SH-1001</t>
  </si>
  <si>
    <t xml:space="preserve">Delhi DC</t>
  </si>
  <si>
    <t xml:space="preserve">Road</t>
  </si>
  <si>
    <t xml:space="preserve">12.5 t</t>
  </si>
  <si>
    <t xml:space="preserve">Delivered</t>
  </si>
  <si>
    <t xml:space="preserve">OK</t>
  </si>
  <si>
    <t xml:space="preserve">SH-1002</t>
  </si>
  <si>
    <t xml:space="preserve">04-Apr-25</t>
  </si>
  <si>
    <t xml:space="preserve">9800 kg</t>
  </si>
  <si>
    <t xml:space="preserve">delivered</t>
  </si>
  <si>
    <t xml:space="preserve">SH-1003</t>
  </si>
  <si>
    <t xml:space="preserve">Ludhiana</t>
  </si>
  <si>
    <t xml:space="preserve">4/5/25</t>
  </si>
  <si>
    <t xml:space="preserve">Rail</t>
  </si>
  <si>
    <t xml:space="preserve">22 t</t>
  </si>
  <si>
    <t xml:space="preserve">In transit</t>
  </si>
  <si>
    <t xml:space="preserve">SH-1004</t>
  </si>
  <si>
    <t xml:space="preserve">2025-04-07</t>
  </si>
  <si>
    <t xml:space="preserve">7.2 t</t>
  </si>
  <si>
    <t xml:space="preserve">DLVD</t>
  </si>
  <si>
    <t xml:space="preserve">Subtotal North</t>
  </si>
  <si>
    <t xml:space="preserve">SH-1005</t>
  </si>
  <si>
    <t xml:space="preserve">Chennai</t>
  </si>
  <si>
    <t xml:space="preserve">Sea</t>
  </si>
  <si>
    <t xml:space="preserve">40 t</t>
  </si>
  <si>
    <t xml:space="preserve">SH-1006</t>
  </si>
  <si>
    <t xml:space="preserve">Hosur</t>
  </si>
  <si>
    <t xml:space="preserve">10-Apr-25</t>
  </si>
  <si>
    <t xml:space="preserve">15,200 kg</t>
  </si>
  <si>
    <t xml:space="preserve">1,25,000</t>
  </si>
  <si>
    <t xml:space="preserve">SH-1007</t>
  </si>
  <si>
    <t xml:space="preserve">11/04/2025</t>
  </si>
  <si>
    <t xml:space="preserve">8 t</t>
  </si>
  <si>
    <t xml:space="preserve">Delayed</t>
  </si>
  <si>
    <t xml:space="preserve">CHECK</t>
  </si>
  <si>
    <t xml:space="preserve">Subtotal South</t>
  </si>
  <si>
    <t xml:space="preserve">SH-1008</t>
  </si>
  <si>
    <t xml:space="preserve">Bhiwandi</t>
  </si>
  <si>
    <t xml:space="preserve">18 t</t>
  </si>
  <si>
    <t xml:space="preserve">SH-1009</t>
  </si>
  <si>
    <t xml:space="preserve">15-Apr-25</t>
  </si>
  <si>
    <t xml:space="preserve">Air</t>
  </si>
  <si>
    <t xml:space="preserve">0.9 t</t>
  </si>
  <si>
    <t xml:space="preserve">SH-1010</t>
  </si>
  <si>
    <t xml:space="preserve">Pune Chakan</t>
  </si>
  <si>
    <t xml:space="preserve">26 t</t>
  </si>
  <si>
    <t xml:space="preserve">Subtotal West</t>
  </si>
  <si>
    <t xml:space="preserve">SH-1011</t>
  </si>
  <si>
    <t xml:space="preserve">Kolkata</t>
  </si>
  <si>
    <t xml:space="preserve">11 t</t>
  </si>
  <si>
    <t xml:space="preserve">SH-1012</t>
  </si>
  <si>
    <t xml:space="preserve">23-Apr-25</t>
  </si>
  <si>
    <t xml:space="preserve">30 t</t>
  </si>
  <si>
    <t xml:space="preserve">Subtotal East</t>
  </si>
  <si>
    <t xml:space="preserve">GRAND TOTAL</t>
  </si>
  <si>
    <t xml:space="preserve">* Weights in mixed units (t / kg). Revenue 'text' cells = pasted from Tally, not summed.</t>
  </si>
  <si>
    <t xml:space="preserve">Fleet register &amp; monthly telemetry</t>
  </si>
  <si>
    <t xml:space="preserve">Class</t>
  </si>
  <si>
    <t xml:space="preserve">Owned</t>
  </si>
  <si>
    <t xml:space="preserve">Leased</t>
  </si>
  <si>
    <t xml:space="preserve">Util %</t>
  </si>
  <si>
    <t xml:space="preserve">Count</t>
  </si>
  <si>
    <t xml:space="preserve">Avg age (y)</t>
  </si>
  <si>
    <t xml:space="preserve">Rent (cr)</t>
  </si>
  <si>
    <t xml:space="preserve">HCV 40T</t>
  </si>
  <si>
    <t xml:space="preserve">HCV 25T</t>
  </si>
  <si>
    <t xml:space="preserve">MCV 16T</t>
  </si>
  <si>
    <t xml:space="preserve">LCV 3.5T</t>
  </si>
  <si>
    <t xml:space="preserve">Reefer 20T</t>
  </si>
  <si>
    <t xml:space="preserve">Monthly telemetry (months across)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</si>
  <si>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</si>
  <si>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</si>
  <si>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</si>
  <si>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</si>
  <si>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</si>
  <si>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</si>
  <si>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</si>
  <si>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</si>
  <si>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</si>
  <si>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</si>
  <si>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</si>
  <si>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</si>
  <si>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FY total</t>
  </si>
  <si>
    <t xml:space="preserve">Km (mn)</t>
  </si>
  <si>
    <t xml:space="preserve">Fuel (kL)</t>
  </si>
  <si>
    <t xml:space="preserve">Accidents</t>
  </si>
  <si>
    <t xml:space="preserve">FY27 Budget - v2 (supersedes v1)</t>
  </si>
  <si>
    <t xml:space="preserve">Line</t>
  </si>
  <si>
    <t xml:space="preserve">FY26 A</t>
  </si>
  <si>
    <t xml:space="preserve">FY27 v1</t>
  </si>
  <si>
    <t xml:space="preserve">FY27 v2</t>
  </si>
  <si>
    <t xml:space="preserve">Comment</t>
  </si>
  <si>
    <t xml:space="preserve">CFO: use 955.0</t>
  </si>
  <si>
    <t xml:space="preserve">Capex</t>
  </si>
  <si>
    <t xml:space="preserve">per CFO call -&gt; 480</t>
  </si>
  <si>
    <t xml:space="preserve">Fleet adds</t>
  </si>
  <si>
    <t xml:space="preserve">Assumptions</t>
  </si>
  <si>
    <t xml:space="preserve">Diesel price (INR/L)</t>
  </si>
  <si>
    <t xml:space="preserve">Wage inflation</t>
  </si>
  <si>
    <t xml:space="preserve">Volume growth</t>
  </si>
  <si>
    <t xml:space="preserve">NB: v1 column struck through = superseded</t>
  </si>
  <si>
    <t xml:space="preserve">Yield change</t>
  </si>
  <si>
    <t xml:space="preserve">USD/INR</t>
  </si>
  <si>
    <t xml:space="preserve">Sensitivity (EBITDA, cr)</t>
  </si>
  <si>
    <t xml:space="preserve">Diesel +5%</t>
  </si>
  <si>
    <t xml:space="preserve">Diesel -5%</t>
  </si>
  <si>
    <t xml:space="preserve">Volume -3%</t>
  </si>
  <si>
    <t xml:space="preserve">Volume +3%</t>
  </si>
  <si>
    <t xml:space="preserve">Wage +2pt</t>
  </si>
  <si>
    <t xml:space="preserve">Warehouse export (pasted from TMS, page breaks included)</t>
  </si>
  <si>
    <t xml:space="preserve">Site</t>
  </si>
  <si>
    <t xml:space="preserve">Sqft</t>
  </si>
  <si>
    <t xml:space="preserve">Capacity (pallets)</t>
  </si>
  <si>
    <t xml:space="preserve">Occupied</t>
  </si>
  <si>
    <t xml:space="preserve">--- Warehousing ---</t>
  </si>
  <si>
    <t xml:space="preserve">Bhiwandi DC</t>
  </si>
  <si>
    <t xml:space="preserve">Gurgaon HUB</t>
  </si>
  <si>
    <t xml:space="preserve">Hosur DC</t>
  </si>
  <si>
    <t xml:space="preserve">--- Warehousing (cont.) ---</t>
  </si>
  <si>
    <t xml:space="preserve">Dankuni Hub</t>
  </si>
  <si>
    <t xml:space="preserve">Nagpur TS</t>
  </si>
  <si>
    <t xml:space="preserve">Chennai Sri.</t>
  </si>
  <si>
    <t xml:space="preserve">REF err (old link)</t>
  </si>
  <si>
    <t xml:space="preserve">n/a</t>
  </si>
  <si>
    <t xml:space="preserve">Kochi (new)</t>
  </si>
  <si>
    <t xml:space="preserve">-</t>
  </si>
  <si>
    <t xml:space="preserve">Totals (typed, stale):</t>
  </si>
  <si>
    <t xml:space="preserve">ERRATA - supersedes ALL other sheets where in conflict</t>
  </si>
  <si>
    <t xml:space="preserve">E1  Revenue from operations restated to INR 4,791.9 cr (4,812.6 - 2.3 audit cut-off - 18.4 toll reclass). EBITDA unchanged at 812.4.</t>
  </si>
  <si>
    <t xml:space="preserve">E2  FY27 budget: EBITDA 955.0, capex 480.0, revenue 5,380.0 (board approved 28-Apr-2026).</t>
  </si>
  <si>
    <t xml:space="preserve">E3  Shipments_Raw: SH-1009 is a duplicate; SH-1006 revenue is 125,000 (stored as text).</t>
  </si>
  <si>
    <t xml:space="preserve">E4  Summary Table 3 total is 1,398.8 not 1,400.0.</t>
  </si>
  <si>
    <t xml:space="preserve">E5  Region 'West' includes Nagpur TS from Q2 (reclassified from Central) - prior-year not restated.</t>
  </si>
  <si>
    <t xml:space="preserve">Approvals</t>
  </si>
  <si>
    <t xml:space="preserve">Role</t>
  </si>
  <si>
    <t xml:space="preserve">Name</t>
  </si>
  <si>
    <t xml:space="preserve">Date</t>
  </si>
  <si>
    <t xml:space="preserve">CFO</t>
  </si>
  <si>
    <t xml:space="preserve">A. Venkatesh</t>
  </si>
  <si>
    <t xml:space="preserve">Signed</t>
  </si>
  <si>
    <t xml:space="preserve">COO</t>
  </si>
  <si>
    <t xml:space="preserve">R. Mehra</t>
  </si>
  <si>
    <t xml:space="preserve">Signed w/ comments</t>
  </si>
  <si>
    <t xml:space="preserve">Audit Chair</t>
  </si>
  <si>
    <t xml:space="preserve">Dr. N. Bhat</t>
  </si>
  <si>
    <t xml:space="preserve">PENDING</t>
  </si>
  <si>
    <t xml:space="preserve">CEO</t>
  </si>
  <si>
    <t xml:space="preserve">M. Sundaram</t>
  </si>
  <si>
    <t xml:space="preserve">Source folder</t>
  </si>
  <si>
    <t xml:space="preserve">Finance share drive</t>
  </si>
  <si>
    <t xml:space="preserve">Shipments by quarter (thousand TEU-eq.)</t>
  </si>
  <si>
    <t xml:space="preserve">FY25</t>
  </si>
  <si>
    <t xml:space="preserve">FY26</t>
  </si>
  <si>
    <t xml:space="preserve">FX rates (hidden sheet)</t>
  </si>
  <si>
    <t xml:space="preserve">EUR/INR</t>
  </si>
  <si>
    <t xml:space="preserve">AED/INR</t>
  </si>
  <si>
    <t xml:space="preserve">SGD/INR</t>
  </si>
  <si>
    <t xml:space="preserve">Region codes (very hidden)</t>
  </si>
  <si>
    <t xml:space="preserve">N</t>
  </si>
  <si>
    <t xml:space="preserve">S</t>
  </si>
  <si>
    <t xml:space="preserve">W</t>
  </si>
  <si>
    <t xml:space="preserve">E</t>
  </si>
  <si>
    <t xml:space="preserve">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</si>
</sst>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#,##0"/>
    <numFmt numFmtId="168" formatCode="dd\-mmm\-yy"/>
    <numFmt numFmtId="169" formatCode="0.0"/>
    <numFmt numFmtId="170" formatCode="0"/>
    <numFmt numFmtId="171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11"/>
      <name val="Arial"/>
      <family val="0"/>
      <charset val="1"/>
    </font>
    <font>
      <strike val="true"/>
      <sz val="10"/>
      <color rgb="FF808080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E8"/>
        <bgColor rgb="FFD9D9D9"/>
      </patternFill>
    </fill>
    <fill>
      <patternFill patternType="solid">
        <fgColor rgb="FFF4B6B6"/>
        <bgColor rgb="FFFF99CC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878787"/>
      <rgbColor rgb="FFC0504D"/>
      <rgbColor rgb="FFFFFFCC"/>
      <rgbColor rgb="FFCCFFFF"/>
      <rgbColor rgb="FF660066"/>
      <rgbColor rgb="FFFF8080"/>
      <rgbColor rgb="FF0563C1"/>
      <rgbColor rgb="FFD9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Shipments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</c:f>
              <c:strCache>
                <c:ptCount val="1"/>
                <c:pt idx="0">
                  <c:v>FY25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Charts!$B$3:$B$6</c:f>
              <c:numCache>
                <c:formatCode>General</c:formatCode>
                <c:ptCount val="4"/>
                <c:pt idx="0">
                  <c:v>412</c:v>
                </c:pt>
                <c:pt idx="1">
                  <c:v>438</c:v>
                </c:pt>
                <c:pt idx="2">
                  <c:v>501</c:v>
                </c:pt>
                <c:pt idx="3">
                  <c:v>476</c:v>
                </c:pt>
              </c:numCache>
            </c:numRef>
          </c:val>
        </c:ser>
        <c:ser>
          <c:idx val="1"/>
          <c:order val="1"/>
          <c:tx>
            <c:strRef>
              <c:f>Charts!C2</c:f>
              <c:strCache>
                <c:ptCount val="1"/>
                <c:pt idx="0">
                  <c:v>FY26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Charts!$C$3:$C$6</c:f>
              <c:numCache>
                <c:formatCode>General</c:formatCode>
                <c:ptCount val="4"/>
                <c:pt idx="0">
                  <c:v>388</c:v>
                </c:pt>
                <c:pt idx="1">
                  <c:v>402</c:v>
                </c:pt>
                <c:pt idx="2">
                  <c:v>455</c:v>
                </c:pt>
                <c:pt idx="3">
                  <c:v>490</c:v>
                </c:pt>
              </c:numCache>
            </c:numRef>
          </c:val>
        </c:ser>
        <c:gapWidth val="150"/>
        <c:overlap val="0"/>
        <c:axId val="60149049"/>
        <c:axId val="48831220"/>
      </c:barChart>
      <c:catAx>
        <c:axId val="60149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31220"/>
        <c:crosses val="autoZero"/>
        <c:auto val="1"/>
        <c:lblAlgn val="ctr"/>
        <c:lblOffset val="100"/>
        <c:noMultiLvlLbl val="0"/>
      </c:catAx>
      <c:valAx>
        <c:axId val="48831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49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2446200" y="190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xample.com/finance/fy26-ops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I3" s="4" t="s">
        <v>3</v>
      </c>
    </row>
    <row r="4" customFormat="false" ht="15" hidden="false" customHeight="false" outlineLevel="0" collapsed="false"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I4" s="5" t="s">
        <v>9</v>
      </c>
      <c r="J4" s="5" t="s">
        <v>10</v>
      </c>
      <c r="K4" s="5" t="s">
        <v>11</v>
      </c>
    </row>
    <row r="5" customFormat="false" ht="15" hidden="false" customHeight="false" outlineLevel="0" collapsed="false">
      <c r="B5" s="6" t="s">
        <v>12</v>
      </c>
      <c r="C5" s="7" t="n">
        <v>1102.4</v>
      </c>
      <c r="D5" s="7" t="n">
        <v>201.7</v>
      </c>
      <c r="E5" s="8" t="n">
        <f aca="false">D5/C5</f>
        <v>0.182964441219158</v>
      </c>
      <c r="F5" s="9" t="n">
        <v>512</v>
      </c>
      <c r="I5" s="6" t="s">
        <v>13</v>
      </c>
      <c r="J5" s="6" t="n">
        <v>91.4</v>
      </c>
      <c r="K5" s="6" t="n">
        <v>212</v>
      </c>
    </row>
    <row r="6" customFormat="false" ht="15" hidden="false" customHeight="false" outlineLevel="0" collapsed="false">
      <c r="B6" s="6" t="s">
        <v>14</v>
      </c>
      <c r="C6" s="7" t="n">
        <v>984.8</v>
      </c>
      <c r="D6" s="7" t="n">
        <v>158.1</v>
      </c>
      <c r="E6" s="8" t="n">
        <f aca="false">D6/C6</f>
        <v>0.160540211210398</v>
      </c>
      <c r="F6" s="9" t="n">
        <v>447</v>
      </c>
      <c r="I6" s="6" t="s">
        <v>15</v>
      </c>
      <c r="J6" s="6" t="n">
        <v>92.5</v>
      </c>
      <c r="K6" s="6" t="n">
        <v>187</v>
      </c>
    </row>
    <row r="7" customFormat="false" ht="15" hidden="false" customHeight="false" outlineLevel="0" collapsed="false">
      <c r="B7" s="6" t="s">
        <v>16</v>
      </c>
      <c r="C7" s="7" t="n">
        <v>1486.2</v>
      </c>
      <c r="D7" s="7" t="n">
        <v>263.9</v>
      </c>
      <c r="E7" s="8" t="n">
        <f aca="false">D7/C7</f>
        <v>0.177566949266586</v>
      </c>
      <c r="F7" s="9" t="n">
        <v>698</v>
      </c>
      <c r="I7" s="6" t="s">
        <v>17</v>
      </c>
      <c r="J7" s="6" t="n">
        <v>93.9</v>
      </c>
      <c r="K7" s="6" t="n">
        <v>164</v>
      </c>
    </row>
    <row r="8" customFormat="false" ht="15" hidden="false" customHeight="false" outlineLevel="0" collapsed="false">
      <c r="B8" s="6" t="s">
        <v>18</v>
      </c>
      <c r="C8" s="7" t="n">
        <v>612.9</v>
      </c>
      <c r="D8" s="7" t="n">
        <v>81.4</v>
      </c>
      <c r="E8" s="8" t="n">
        <f aca="false">D8/C8</f>
        <v>0.132811225322239</v>
      </c>
      <c r="F8" s="9" t="n">
        <v>301</v>
      </c>
      <c r="I8" s="6" t="s">
        <v>19</v>
      </c>
      <c r="J8" s="6" t="n">
        <v>94.1</v>
      </c>
      <c r="K8" s="6" t="n">
        <v>158</v>
      </c>
    </row>
    <row r="9" customFormat="false" ht="15" hidden="false" customHeight="false" outlineLevel="0" collapsed="false">
      <c r="B9" s="6" t="s">
        <v>20</v>
      </c>
      <c r="C9" s="7" t="n">
        <v>398.7</v>
      </c>
      <c r="D9" s="7" t="n">
        <v>58.2</v>
      </c>
      <c r="E9" s="8" t="n">
        <f aca="false">D9/C9</f>
        <v>0.145974416854778</v>
      </c>
      <c r="F9" s="9" t="n">
        <v>229</v>
      </c>
    </row>
    <row r="10" customFormat="false" ht="15" hidden="false" customHeight="false" outlineLevel="0" collapsed="false">
      <c r="B10" s="10" t="s">
        <v>21</v>
      </c>
      <c r="C10" s="11" t="n">
        <f aca="false">SUM(C5:C9)</f>
        <v>4585</v>
      </c>
      <c r="D10" s="11" t="n">
        <f aca="false">SUM(D5:D9)</f>
        <v>763.3</v>
      </c>
      <c r="E10" s="12" t="n">
        <f aca="false">D10/C10</f>
        <v>0.166477644492912</v>
      </c>
      <c r="F10" s="13" t="n">
        <f aca="false">SUM(F5:F9)</f>
        <v>2187</v>
      </c>
    </row>
    <row r="12" customFormat="false" ht="15" hidden="false" customHeight="false" outlineLevel="0" collapsed="false">
      <c r="I12" s="4" t="s">
        <v>22</v>
      </c>
      <c r="J12" s="14" t="n">
        <v>11284</v>
      </c>
    </row>
    <row r="13" customFormat="false" ht="15" hidden="false" customHeight="false" outlineLevel="0" collapsed="false">
      <c r="B13" s="3" t="s">
        <v>23</v>
      </c>
      <c r="C13" s="3"/>
      <c r="D13" s="3"/>
      <c r="E13" s="3"/>
      <c r="F13" s="3"/>
      <c r="I13" s="4" t="s">
        <v>24</v>
      </c>
      <c r="J13" s="15" t="n">
        <v>17.8</v>
      </c>
    </row>
    <row r="14" customFormat="false" ht="15" hidden="false" customHeight="false" outlineLevel="0" collapsed="false">
      <c r="B14" s="5" t="s">
        <v>25</v>
      </c>
      <c r="C14" s="5" t="s">
        <v>26</v>
      </c>
      <c r="D14" s="5" t="s">
        <v>27</v>
      </c>
      <c r="E14" s="5" t="s">
        <v>28</v>
      </c>
      <c r="I14" s="4" t="s">
        <v>29</v>
      </c>
      <c r="J14" s="15" t="s">
        <v>30</v>
      </c>
    </row>
    <row r="15" customFormat="false" ht="15" hidden="false" customHeight="false" outlineLevel="0" collapsed="false">
      <c r="B15" s="6" t="s">
        <v>31</v>
      </c>
      <c r="C15" s="7" t="n">
        <v>606.4</v>
      </c>
      <c r="D15" s="8" t="n">
        <v>0.126</v>
      </c>
      <c r="E15" s="6" t="s">
        <v>32</v>
      </c>
    </row>
    <row r="16" customFormat="false" ht="15" hidden="false" customHeight="false" outlineLevel="0" collapsed="false">
      <c r="B16" s="6" t="s">
        <v>33</v>
      </c>
      <c r="C16" s="7" t="n">
        <v>301.5</v>
      </c>
      <c r="D16" s="8" t="n">
        <v>0.063</v>
      </c>
      <c r="E16" s="6" t="s">
        <v>34</v>
      </c>
    </row>
    <row r="17" customFormat="false" ht="15" hidden="false" customHeight="false" outlineLevel="0" collapsed="false">
      <c r="B17" s="6" t="s">
        <v>35</v>
      </c>
      <c r="C17" s="7" t="n">
        <v>254.8</v>
      </c>
      <c r="D17" s="8" t="n">
        <v>0.053</v>
      </c>
      <c r="E17" s="6" t="s">
        <v>36</v>
      </c>
    </row>
    <row r="18" customFormat="false" ht="15" hidden="false" customHeight="false" outlineLevel="0" collapsed="false">
      <c r="B18" s="6" t="s">
        <v>37</v>
      </c>
      <c r="C18" s="7" t="n">
        <v>147.9</v>
      </c>
      <c r="D18" s="8" t="n">
        <v>0.031</v>
      </c>
      <c r="E18" s="6" t="s">
        <v>38</v>
      </c>
    </row>
    <row r="19" customFormat="false" ht="15" hidden="false" customHeight="false" outlineLevel="0" collapsed="false">
      <c r="B19" s="6" t="s">
        <v>39</v>
      </c>
      <c r="C19" s="7" t="n">
        <v>88.2</v>
      </c>
      <c r="D19" s="8" t="n">
        <v>0.018</v>
      </c>
      <c r="E19" s="6" t="s">
        <v>40</v>
      </c>
    </row>
    <row r="20" customFormat="false" ht="15" hidden="false" customHeight="false" outlineLevel="0" collapsed="false">
      <c r="B20" s="10" t="s">
        <v>41</v>
      </c>
      <c r="C20" s="11" t="n">
        <v>1400</v>
      </c>
      <c r="D20" s="12" t="n">
        <f aca="false">SUM(D15:D19)</f>
        <v>0.291</v>
      </c>
    </row>
    <row r="23" customFormat="false" ht="15" hidden="false" customHeight="false" outlineLevel="0" collapsed="false">
      <c r="B23" s="16" t="s">
        <v>42</v>
      </c>
    </row>
    <row r="24" customFormat="false" ht="15" hidden="false" customHeight="false" outlineLevel="0" collapsed="false">
      <c r="B24" s="15" t="s">
        <v>43</v>
      </c>
    </row>
    <row r="25" customFormat="false" ht="15" hidden="false" customHeight="false" outlineLevel="0" collapsed="false">
      <c r="B25" s="2" t="s">
        <v>44</v>
      </c>
    </row>
  </sheetData>
  <mergeCells count="3">
    <mergeCell ref="A1:L1"/>
    <mergeCell ref="B3:F3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4" style="0" width="13"/>
    <col collapsed="false" customWidth="true" hidden="false" outlineLevel="0" max="7" min="7" style="0" width="16"/>
    <col collapsed="false" customWidth="true" hidden="true" outlineLevel="0" max="9" min="9" style="0" width="13"/>
  </cols>
  <sheetData>
    <row r="1" customFormat="false" ht="15" hidden="false" customHeight="false" outlineLevel="0" collapsed="false">
      <c r="A1" s="17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5" t="s">
        <v>47</v>
      </c>
      <c r="B4" s="5" t="s">
        <v>4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54</v>
      </c>
    </row>
    <row r="5" customFormat="false" ht="15" hidden="false" customHeight="false" outlineLevel="0" collapsed="false">
      <c r="A5" s="15" t="s">
        <v>55</v>
      </c>
      <c r="B5" s="18" t="s">
        <v>12</v>
      </c>
      <c r="C5" s="15" t="s">
        <v>56</v>
      </c>
      <c r="D5" s="19" t="n">
        <v>45750</v>
      </c>
      <c r="E5" s="15" t="s">
        <v>57</v>
      </c>
      <c r="F5" s="15" t="s">
        <v>58</v>
      </c>
      <c r="G5" s="14" t="n">
        <v>184500</v>
      </c>
      <c r="H5" s="15" t="s">
        <v>59</v>
      </c>
      <c r="I5" s="15" t="s">
        <v>60</v>
      </c>
    </row>
    <row r="6" customFormat="false" ht="15" hidden="false" customHeight="false" outlineLevel="0" collapsed="false">
      <c r="A6" s="15" t="s">
        <v>61</v>
      </c>
      <c r="B6" s="18"/>
      <c r="C6" s="15" t="s">
        <v>56</v>
      </c>
      <c r="D6" s="15" t="s">
        <v>62</v>
      </c>
      <c r="E6" s="15" t="s">
        <v>57</v>
      </c>
      <c r="F6" s="15" t="s">
        <v>63</v>
      </c>
      <c r="G6" s="14" t="n">
        <v>142300</v>
      </c>
      <c r="H6" s="15" t="s">
        <v>64</v>
      </c>
    </row>
    <row r="7" customFormat="false" ht="15" hidden="false" customHeight="false" outlineLevel="0" collapsed="false">
      <c r="A7" s="15" t="s">
        <v>65</v>
      </c>
      <c r="B7" s="18"/>
      <c r="C7" s="15" t="s">
        <v>66</v>
      </c>
      <c r="D7" s="15" t="s">
        <v>67</v>
      </c>
      <c r="E7" s="15" t="s">
        <v>68</v>
      </c>
      <c r="F7" s="15" t="s">
        <v>69</v>
      </c>
      <c r="G7" s="14" t="n">
        <v>96400</v>
      </c>
      <c r="H7" s="15" t="s">
        <v>70</v>
      </c>
    </row>
    <row r="8" customFormat="false" ht="15" hidden="false" customHeight="false" outlineLevel="0" collapsed="false">
      <c r="A8" s="15" t="s">
        <v>71</v>
      </c>
      <c r="B8" s="18"/>
      <c r="C8" s="15" t="s">
        <v>66</v>
      </c>
      <c r="D8" s="15" t="s">
        <v>72</v>
      </c>
      <c r="E8" s="15" t="s">
        <v>57</v>
      </c>
      <c r="F8" s="15" t="s">
        <v>73</v>
      </c>
      <c r="G8" s="14" t="n">
        <v>88100</v>
      </c>
      <c r="H8" s="15" t="s">
        <v>74</v>
      </c>
    </row>
    <row r="9" customFormat="false" ht="15" hidden="false" customHeight="false" outlineLevel="0" collapsed="false">
      <c r="A9" s="20" t="s">
        <v>75</v>
      </c>
      <c r="G9" s="21" t="n">
        <f aca="false">SUM(G5:G8)</f>
        <v>511300</v>
      </c>
    </row>
    <row r="10" customFormat="false" ht="15" hidden="false" customHeight="false" outlineLevel="0" collapsed="false">
      <c r="A10" s="15" t="s">
        <v>76</v>
      </c>
      <c r="B10" s="18" t="s">
        <v>14</v>
      </c>
      <c r="C10" s="15" t="s">
        <v>77</v>
      </c>
      <c r="D10" s="19" t="n">
        <v>45756</v>
      </c>
      <c r="E10" s="15" t="s">
        <v>78</v>
      </c>
      <c r="F10" s="15" t="s">
        <v>79</v>
      </c>
      <c r="G10" s="14" t="n">
        <v>312000</v>
      </c>
      <c r="H10" s="15" t="s">
        <v>59</v>
      </c>
    </row>
    <row r="11" customFormat="false" ht="15" hidden="false" customHeight="false" outlineLevel="0" collapsed="false">
      <c r="A11" s="15" t="s">
        <v>80</v>
      </c>
      <c r="B11" s="18"/>
      <c r="C11" s="15" t="s">
        <v>81</v>
      </c>
      <c r="D11" s="15" t="s">
        <v>82</v>
      </c>
      <c r="E11" s="15" t="s">
        <v>57</v>
      </c>
      <c r="F11" s="15" t="s">
        <v>83</v>
      </c>
      <c r="G11" s="15" t="s">
        <v>84</v>
      </c>
      <c r="H11" s="15" t="s">
        <v>59</v>
      </c>
    </row>
    <row r="12" customFormat="false" ht="15" hidden="false" customHeight="false" outlineLevel="0" collapsed="false">
      <c r="A12" s="15" t="s">
        <v>85</v>
      </c>
      <c r="B12" s="18"/>
      <c r="C12" s="15" t="s">
        <v>81</v>
      </c>
      <c r="D12" s="15" t="s">
        <v>86</v>
      </c>
      <c r="E12" s="15" t="s">
        <v>57</v>
      </c>
      <c r="F12" s="15" t="s">
        <v>87</v>
      </c>
      <c r="G12" s="14" t="n">
        <v>77500</v>
      </c>
      <c r="H12" s="15" t="s">
        <v>88</v>
      </c>
      <c r="I12" s="15" t="s">
        <v>89</v>
      </c>
    </row>
    <row r="13" customFormat="false" ht="15" hidden="false" customHeight="false" outlineLevel="0" collapsed="false">
      <c r="A13" s="20" t="s">
        <v>90</v>
      </c>
      <c r="G13" s="21" t="n">
        <f aca="false">SUM(G10:G12)</f>
        <v>389500</v>
      </c>
    </row>
    <row r="15" customFormat="false" ht="15" hidden="false" customHeight="false" outlineLevel="0" collapsed="false">
      <c r="A15" s="15" t="s">
        <v>91</v>
      </c>
      <c r="B15" s="18" t="s">
        <v>16</v>
      </c>
      <c r="C15" s="15" t="s">
        <v>92</v>
      </c>
      <c r="D15" s="19" t="n">
        <v>45761</v>
      </c>
      <c r="E15" s="15" t="s">
        <v>57</v>
      </c>
      <c r="F15" s="15" t="s">
        <v>93</v>
      </c>
      <c r="G15" s="14" t="n">
        <v>205600</v>
      </c>
      <c r="H15" s="15" t="s">
        <v>59</v>
      </c>
    </row>
    <row r="16" customFormat="false" ht="15" hidden="false" customHeight="false" outlineLevel="0" collapsed="false">
      <c r="A16" s="15" t="s">
        <v>94</v>
      </c>
      <c r="B16" s="18"/>
      <c r="C16" s="15" t="s">
        <v>92</v>
      </c>
      <c r="D16" s="15" t="s">
        <v>95</v>
      </c>
      <c r="E16" s="15" t="s">
        <v>96</v>
      </c>
      <c r="F16" s="15" t="s">
        <v>97</v>
      </c>
      <c r="G16" s="14" t="n">
        <v>148000</v>
      </c>
      <c r="H16" s="15" t="s">
        <v>59</v>
      </c>
    </row>
    <row r="17" customFormat="false" ht="15" hidden="false" customHeight="false" outlineLevel="0" collapsed="false">
      <c r="A17" s="22" t="s">
        <v>94</v>
      </c>
      <c r="B17" s="18"/>
      <c r="C17" s="22" t="s">
        <v>92</v>
      </c>
      <c r="D17" s="22" t="s">
        <v>95</v>
      </c>
      <c r="E17" s="22" t="s">
        <v>96</v>
      </c>
      <c r="F17" s="22" t="s">
        <v>97</v>
      </c>
      <c r="G17" s="23" t="n">
        <v>148000</v>
      </c>
      <c r="H17" s="22" t="s">
        <v>59</v>
      </c>
    </row>
    <row r="18" customFormat="false" ht="15" hidden="false" customHeight="false" outlineLevel="0" collapsed="false">
      <c r="A18" s="15" t="s">
        <v>98</v>
      </c>
      <c r="B18" s="18"/>
      <c r="C18" s="15" t="s">
        <v>99</v>
      </c>
      <c r="D18" s="19" t="n">
        <v>45764</v>
      </c>
      <c r="E18" s="15" t="s">
        <v>68</v>
      </c>
      <c r="F18" s="15" t="s">
        <v>100</v>
      </c>
      <c r="G18" s="14" t="n">
        <v>119900</v>
      </c>
      <c r="H18" s="15" t="s">
        <v>70</v>
      </c>
    </row>
    <row r="19" customFormat="false" ht="15" hidden="false" customHeight="false" outlineLevel="0" collapsed="false">
      <c r="A19" s="20" t="s">
        <v>101</v>
      </c>
      <c r="G19" s="21" t="n">
        <f aca="false">SUM(G15:G18)</f>
        <v>621500</v>
      </c>
    </row>
    <row r="20" customFormat="false" ht="15" hidden="false" customHeight="false" outlineLevel="0" collapsed="false">
      <c r="A20" s="15" t="s">
        <v>102</v>
      </c>
      <c r="B20" s="18" t="s">
        <v>18</v>
      </c>
      <c r="C20" s="15" t="s">
        <v>103</v>
      </c>
      <c r="D20" s="19" t="n">
        <v>45769</v>
      </c>
      <c r="E20" s="15" t="s">
        <v>57</v>
      </c>
      <c r="F20" s="15" t="s">
        <v>104</v>
      </c>
      <c r="G20" s="14" t="n">
        <v>64200</v>
      </c>
      <c r="H20" s="15" t="s">
        <v>88</v>
      </c>
    </row>
    <row r="21" customFormat="false" ht="15" hidden="false" customHeight="false" outlineLevel="0" collapsed="false">
      <c r="A21" s="15" t="s">
        <v>105</v>
      </c>
      <c r="B21" s="18"/>
      <c r="C21" s="15" t="s">
        <v>103</v>
      </c>
      <c r="D21" s="15" t="s">
        <v>106</v>
      </c>
      <c r="E21" s="15" t="s">
        <v>68</v>
      </c>
      <c r="F21" s="15" t="s">
        <v>107</v>
      </c>
      <c r="G21" s="14" t="n">
        <v>101700</v>
      </c>
      <c r="H21" s="15" t="s">
        <v>70</v>
      </c>
    </row>
    <row r="22" customFormat="false" ht="15" hidden="false" customHeight="false" outlineLevel="0" collapsed="false">
      <c r="A22" s="20" t="s">
        <v>108</v>
      </c>
      <c r="G22" s="21" t="n">
        <f aca="false">SUM(G20:G21)</f>
        <v>165900</v>
      </c>
    </row>
    <row r="24" customFormat="false" ht="15" hidden="false" customHeight="false" outlineLevel="0" collapsed="false">
      <c r="A24" s="4" t="s">
        <v>109</v>
      </c>
      <c r="G24" s="24" t="n">
        <f aca="false">SUM(G5:G22)</f>
        <v>3376400</v>
      </c>
    </row>
    <row r="26" customFormat="false" ht="15" hidden="false" customHeight="false" outlineLevel="0" collapsed="false">
      <c r="A26" s="2" t="s">
        <v>110</v>
      </c>
    </row>
  </sheetData>
  <mergeCells count="4">
    <mergeCell ref="B5:B8"/>
    <mergeCell ref="B10:B12"/>
    <mergeCell ref="B15:B18"/>
    <mergeCell ref="B20:B21"/>
  </mergeCells>
  <dataValidations count="1">
    <dataValidation allowBlank="true" errorStyle="stop" operator="between" showDropDown="false" showErrorMessage="false" showInputMessage="false" sqref="H5:H20" type="list">
      <formula1>"Delivered,In transit,Delayed"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17" t="s">
        <v>111</v>
      </c>
    </row>
    <row r="3" customFormat="false" ht="15" hidden="false" customHeight="false" outlineLevel="0" collapsed="false">
      <c r="A3" s="25" t="s">
        <v>112</v>
      </c>
      <c r="B3" s="26" t="s">
        <v>113</v>
      </c>
      <c r="C3" s="26"/>
      <c r="D3" s="26" t="s">
        <v>114</v>
      </c>
      <c r="E3" s="26"/>
      <c r="F3" s="25" t="s">
        <v>115</v>
      </c>
    </row>
    <row r="4" customFormat="false" ht="15" hidden="false" customHeight="false" outlineLevel="0" collapsed="false">
      <c r="A4" s="25"/>
      <c r="B4" s="5" t="s">
        <v>116</v>
      </c>
      <c r="C4" s="5" t="s">
        <v>117</v>
      </c>
      <c r="D4" s="5" t="s">
        <v>116</v>
      </c>
      <c r="E4" s="5" t="s">
        <v>118</v>
      </c>
      <c r="F4" s="25"/>
    </row>
    <row r="5" customFormat="false" ht="15" hidden="false" customHeight="false" outlineLevel="0" collapsed="false">
      <c r="A5" s="6" t="s">
        <v>119</v>
      </c>
      <c r="B5" s="6" t="n">
        <v>612</v>
      </c>
      <c r="C5" s="6" t="n">
        <v>4.2</v>
      </c>
      <c r="D5" s="6" t="n">
        <v>301</v>
      </c>
      <c r="E5" s="6" t="n">
        <v>41.2</v>
      </c>
      <c r="F5" s="6" t="n">
        <v>81.4</v>
      </c>
    </row>
    <row r="6" customFormat="false" ht="15" hidden="false" customHeight="false" outlineLevel="0" collapsed="false">
      <c r="A6" s="6" t="s">
        <v>120</v>
      </c>
      <c r="B6" s="6" t="n">
        <v>480</v>
      </c>
      <c r="C6" s="6" t="n">
        <v>5.1</v>
      </c>
      <c r="D6" s="6" t="n">
        <v>122</v>
      </c>
      <c r="E6" s="6" t="n">
        <v>18.6</v>
      </c>
      <c r="F6" s="6" t="n">
        <v>77.9</v>
      </c>
    </row>
    <row r="7" customFormat="false" ht="15" hidden="false" customHeight="false" outlineLevel="0" collapsed="false">
      <c r="A7" s="6" t="s">
        <v>121</v>
      </c>
      <c r="B7" s="6" t="n">
        <v>241</v>
      </c>
      <c r="C7" s="6" t="n">
        <v>3.8</v>
      </c>
      <c r="D7" s="6" t="n">
        <v>88</v>
      </c>
      <c r="E7" s="6" t="n">
        <v>9.4</v>
      </c>
      <c r="F7" s="6" t="n">
        <v>72.3</v>
      </c>
    </row>
    <row r="8" customFormat="false" ht="15" hidden="false" customHeight="false" outlineLevel="0" collapsed="false">
      <c r="A8" s="6" t="s">
        <v>122</v>
      </c>
      <c r="B8" s="6" t="n">
        <v>198</v>
      </c>
      <c r="C8" s="6" t="n">
        <v>2.9</v>
      </c>
      <c r="D8" s="6" t="n">
        <v>35</v>
      </c>
      <c r="E8" s="6" t="n">
        <v>4.1</v>
      </c>
      <c r="F8" s="6" t="n">
        <v>69</v>
      </c>
    </row>
    <row r="9" customFormat="false" ht="15" hidden="false" customHeight="false" outlineLevel="0" collapsed="false">
      <c r="A9" s="6" t="s">
        <v>123</v>
      </c>
      <c r="B9" s="6" t="n">
        <v>88</v>
      </c>
      <c r="C9" s="6" t="n">
        <v>3.3</v>
      </c>
      <c r="D9" s="6" t="n">
        <v>44</v>
      </c>
      <c r="E9" s="6" t="n">
        <v>21.7</v>
      </c>
      <c r="F9" s="6" t="n">
        <v>84.8</v>
      </c>
    </row>
    <row r="10" customFormat="false" ht="15" hidden="false" customHeight="false" outlineLevel="0" collapsed="false">
      <c r="A10" s="4" t="s">
        <v>21</v>
      </c>
      <c r="B10" s="4" t="n">
        <f aca="false">SUM(B5:B9)</f>
        <v>1619</v>
      </c>
      <c r="D10" s="4" t="n">
        <f aca="false">SUM(D5:D9)</f>
        <v>590</v>
      </c>
      <c r="E10" s="27" t="n">
        <f aca="false">SUM(E5:E9)</f>
        <v>95</v>
      </c>
    </row>
    <row r="14" customFormat="false" ht="15" hidden="false" customHeight="false" outlineLevel="0" collapsed="false">
      <c r="A14" s="4" t="s">
        <v>124</v>
      </c>
    </row>
    <row r="15" customFormat="false" ht="15" hidden="false" customHeight="false" outlineLevel="0" collapsed="false">
      <c r="B15" s="5" t="s">
        <v>125</v>
      </c>
      <c r="C15" s="5" t="s">
        <v>126</v>
      </c>
      <c r="D15" s="5" t="s">
        <v>127</v>
      </c>
      <c r="E15" s="5" t="s">
        <v>128</v>
      </c>
      <c r="F15" s="5" t="s">
        <v>129</v>
      </c>
      <c r="G15" s="5" t="s">
        <v>130</v>
      </c>
      <c r="H15" s="5" t="s">
        <v>131</v>
      </c>
      <c r="I15" s="5" t="s">
        <v>132</v>
      </c>
      <c r="J15" s="5" t="s">
        <v>133</v>
      </c>
      <c r="K15" s="5" t="s">
        <v>134</v>
      </c>
      <c r="L15" s="5" t="s">
        <v>135</v>
      </c>
      <c r="M15" s="5" t="s">
        <v>136</v>
      </c>
      <c r="N15" s="5" t="s">
        <v>137</v>
      </c>
    </row>
    <row r="16" customFormat="false" ht="15" hidden="false" customHeight="false" outlineLevel="0" collapsed="false">
      <c r="A16" s="4" t="s">
        <v>138</v>
      </c>
      <c r="B16" s="28" t="n">
        <v>30.2</v>
      </c>
      <c r="C16" s="28" t="n">
        <v>31.5</v>
      </c>
      <c r="D16" s="28" t="n">
        <v>29.8</v>
      </c>
      <c r="E16" s="28" t="n">
        <v>32.4</v>
      </c>
      <c r="F16" s="28" t="n">
        <v>33.1</v>
      </c>
      <c r="G16" s="28" t="n">
        <v>31.9</v>
      </c>
      <c r="H16" s="28" t="n">
        <v>34</v>
      </c>
      <c r="I16" s="28" t="n">
        <v>33.2</v>
      </c>
      <c r="J16" s="28" t="n">
        <v>32.6</v>
      </c>
      <c r="K16" s="28" t="n">
        <v>31</v>
      </c>
      <c r="L16" s="28" t="n">
        <v>30.7</v>
      </c>
      <c r="M16" s="28" t="n">
        <v>33.1</v>
      </c>
      <c r="N16" s="27" t="n">
        <f aca="false">SUM(B16:M16)</f>
        <v>383.5</v>
      </c>
    </row>
    <row r="17" customFormat="false" ht="15" hidden="false" customHeight="false" outlineLevel="0" collapsed="false">
      <c r="A17" s="4" t="s">
        <v>139</v>
      </c>
      <c r="B17" s="14" t="n">
        <v>9100</v>
      </c>
      <c r="C17" s="14" t="n">
        <v>9400</v>
      </c>
      <c r="D17" s="14" t="n">
        <v>9000</v>
      </c>
      <c r="E17" s="14" t="n">
        <v>9650</v>
      </c>
      <c r="F17" s="14" t="n">
        <v>9800</v>
      </c>
      <c r="G17" s="14" t="n">
        <v>9500</v>
      </c>
      <c r="H17" s="14" t="n">
        <v>10100</v>
      </c>
      <c r="I17" s="14" t="n">
        <v>9900</v>
      </c>
      <c r="J17" s="14" t="n">
        <v>9700</v>
      </c>
      <c r="K17" s="14" t="n">
        <v>9250</v>
      </c>
      <c r="L17" s="14" t="n">
        <v>9150</v>
      </c>
      <c r="M17" s="14" t="n">
        <v>9868</v>
      </c>
      <c r="N17" s="24" t="n">
        <f aca="false">SUM(B17:M17)</f>
        <v>114418</v>
      </c>
    </row>
    <row r="18" customFormat="false" ht="15" hidden="false" customHeight="false" outlineLevel="0" collapsed="false">
      <c r="A18" s="4" t="s">
        <v>140</v>
      </c>
      <c r="B18" s="29" t="n">
        <v>4</v>
      </c>
      <c r="C18" s="29" t="n">
        <v>3</v>
      </c>
      <c r="D18" s="29" t="n">
        <v>5</v>
      </c>
      <c r="E18" s="29" t="n">
        <v>3</v>
      </c>
      <c r="F18" s="29" t="n">
        <v>2</v>
      </c>
      <c r="G18" s="29" t="n">
        <v>4</v>
      </c>
      <c r="H18" s="29" t="n">
        <v>4</v>
      </c>
      <c r="I18" s="29" t="n">
        <v>3</v>
      </c>
      <c r="J18" s="29" t="n">
        <v>4</v>
      </c>
      <c r="K18" s="29" t="n">
        <v>3</v>
      </c>
      <c r="L18" s="29" t="n">
        <v>4</v>
      </c>
      <c r="M18" s="29" t="n">
        <v>4</v>
      </c>
      <c r="N18" s="30" t="n">
        <f aca="false">SUM(B18:M18)</f>
        <v>43</v>
      </c>
    </row>
  </sheetData>
  <mergeCells count="4">
    <mergeCell ref="A3:A4"/>
    <mergeCell ref="B3:C3"/>
    <mergeCell ref="D3:E3"/>
    <mergeCell ref="F3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7" t="s">
        <v>141</v>
      </c>
    </row>
    <row r="3" customFormat="false" ht="15" hidden="false" customHeight="false" outlineLevel="0" collapsed="false">
      <c r="A3" s="5" t="s">
        <v>142</v>
      </c>
      <c r="B3" s="5" t="s">
        <v>143</v>
      </c>
      <c r="C3" s="5" t="s">
        <v>144</v>
      </c>
      <c r="D3" s="5" t="s">
        <v>145</v>
      </c>
      <c r="E3" s="5" t="s">
        <v>146</v>
      </c>
    </row>
    <row r="4" customFormat="false" ht="15" hidden="false" customHeight="false" outlineLevel="0" collapsed="false">
      <c r="A4" s="6" t="s">
        <v>5</v>
      </c>
      <c r="B4" s="6" t="n">
        <v>4812.6</v>
      </c>
      <c r="C4" s="31" t="n">
        <v>5420</v>
      </c>
      <c r="D4" s="32" t="n">
        <v>5380</v>
      </c>
      <c r="E4" s="6"/>
    </row>
    <row r="5" customFormat="false" ht="15" hidden="false" customHeight="false" outlineLevel="0" collapsed="false">
      <c r="A5" s="6" t="s">
        <v>6</v>
      </c>
      <c r="B5" s="6" t="n">
        <v>812.4</v>
      </c>
      <c r="C5" s="31" t="n">
        <v>960</v>
      </c>
      <c r="D5" s="6" t="n">
        <v>941.5</v>
      </c>
      <c r="E5" s="33" t="s">
        <v>147</v>
      </c>
    </row>
    <row r="6" customFormat="false" ht="15" hidden="false" customHeight="false" outlineLevel="0" collapsed="false">
      <c r="A6" s="6" t="s">
        <v>148</v>
      </c>
      <c r="B6" s="6" t="n">
        <v>402</v>
      </c>
      <c r="C6" s="31" t="n">
        <v>520</v>
      </c>
      <c r="D6" s="6" t="n">
        <v>455</v>
      </c>
      <c r="E6" s="33" t="s">
        <v>149</v>
      </c>
    </row>
    <row r="7" customFormat="false" ht="15" hidden="false" customHeight="false" outlineLevel="0" collapsed="false">
      <c r="A7" s="6" t="s">
        <v>22</v>
      </c>
      <c r="B7" s="6" t="n">
        <v>11284</v>
      </c>
      <c r="C7" s="31" t="n">
        <v>11900</v>
      </c>
      <c r="D7" s="6" t="n">
        <v>11750</v>
      </c>
      <c r="E7" s="6"/>
    </row>
    <row r="8" customFormat="false" ht="15" hidden="false" customHeight="false" outlineLevel="0" collapsed="false">
      <c r="A8" s="6" t="s">
        <v>150</v>
      </c>
      <c r="B8" s="6" t="n">
        <v>176</v>
      </c>
      <c r="C8" s="31" t="n">
        <v>240</v>
      </c>
      <c r="D8" s="6" t="n">
        <v>190</v>
      </c>
      <c r="E8" s="6"/>
    </row>
    <row r="11" customFormat="false" ht="15" hidden="false" customHeight="false" outlineLevel="0" collapsed="false">
      <c r="A11" s="4" t="s">
        <v>151</v>
      </c>
    </row>
    <row r="12" customFormat="false" ht="15" hidden="false" customHeight="false" outlineLevel="0" collapsed="false">
      <c r="A12" s="15" t="s">
        <v>152</v>
      </c>
      <c r="B12" s="28" t="n">
        <v>91.5</v>
      </c>
    </row>
    <row r="13" customFormat="false" ht="15" hidden="false" customHeight="false" outlineLevel="0" collapsed="false">
      <c r="A13" s="15" t="s">
        <v>153</v>
      </c>
      <c r="B13" s="34" t="n">
        <v>0.07</v>
      </c>
    </row>
    <row r="14" customFormat="false" ht="15" hidden="false" customHeight="false" outlineLevel="0" collapsed="false">
      <c r="A14" s="15" t="s">
        <v>154</v>
      </c>
      <c r="B14" s="34" t="n">
        <v>0.085</v>
      </c>
      <c r="D14" s="2" t="s">
        <v>155</v>
      </c>
    </row>
    <row r="15" customFormat="false" ht="15" hidden="false" customHeight="false" outlineLevel="0" collapsed="false">
      <c r="A15" s="15" t="s">
        <v>156</v>
      </c>
      <c r="B15" s="34" t="n">
        <v>0.022</v>
      </c>
    </row>
    <row r="16" customFormat="false" ht="15" hidden="false" customHeight="false" outlineLevel="0" collapsed="false">
      <c r="A16" s="15" t="s">
        <v>157</v>
      </c>
      <c r="B16" s="28" t="n">
        <v>85</v>
      </c>
    </row>
    <row r="18" customFormat="false" ht="15" hidden="false" customHeight="false" outlineLevel="0" collapsed="false">
      <c r="A18" s="4" t="s">
        <v>158</v>
      </c>
    </row>
    <row r="19" customFormat="false" ht="15" hidden="false" customHeight="false" outlineLevel="0" collapsed="false">
      <c r="A19" s="15" t="s">
        <v>159</v>
      </c>
      <c r="B19" s="15" t="n">
        <v>-41.2</v>
      </c>
    </row>
    <row r="20" customFormat="false" ht="15" hidden="false" customHeight="false" outlineLevel="0" collapsed="false">
      <c r="A20" s="15" t="s">
        <v>160</v>
      </c>
      <c r="B20" s="15" t="n">
        <v>41.2</v>
      </c>
    </row>
    <row r="21" customFormat="false" ht="15" hidden="false" customHeight="false" outlineLevel="0" collapsed="false">
      <c r="A21" s="15" t="s">
        <v>161</v>
      </c>
      <c r="B21" s="15" t="n">
        <v>-33.8</v>
      </c>
    </row>
    <row r="22" customFormat="false" ht="15" hidden="false" customHeight="false" outlineLevel="0" collapsed="false">
      <c r="A22" s="15" t="s">
        <v>162</v>
      </c>
      <c r="B22" s="15" t="n">
        <v>33.8</v>
      </c>
    </row>
    <row r="23" customFormat="false" ht="15" hidden="false" customHeight="false" outlineLevel="0" collapsed="false">
      <c r="A23" s="15" t="s">
        <v>163</v>
      </c>
      <c r="B23" s="15" t="n">
        <v>-14.4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4" t="s">
        <v>164</v>
      </c>
    </row>
    <row r="3" customFormat="false" ht="15" hidden="false" customHeight="false" outlineLevel="0" collapsed="false">
      <c r="A3" s="35" t="s">
        <v>165</v>
      </c>
      <c r="C3" s="35" t="s">
        <v>166</v>
      </c>
      <c r="E3" s="35" t="s">
        <v>115</v>
      </c>
      <c r="G3" s="35" t="s">
        <v>167</v>
      </c>
      <c r="I3" s="35" t="s">
        <v>168</v>
      </c>
    </row>
    <row r="4" customFormat="false" ht="15" hidden="false" customHeight="false" outlineLevel="0" collapsed="false">
      <c r="A4" s="2" t="s">
        <v>169</v>
      </c>
    </row>
    <row r="5" customFormat="false" ht="15" hidden="false" customHeight="false" outlineLevel="0" collapsed="false">
      <c r="A5" s="15" t="s">
        <v>170</v>
      </c>
      <c r="C5" s="15" t="n">
        <v>412000</v>
      </c>
      <c r="E5" s="15" t="n">
        <v>88.4</v>
      </c>
      <c r="G5" s="15" t="n">
        <v>31200</v>
      </c>
      <c r="I5" s="15" t="n">
        <v>27581</v>
      </c>
    </row>
    <row r="6" customFormat="false" ht="15" hidden="false" customHeight="false" outlineLevel="0" collapsed="false">
      <c r="A6" s="15" t="s">
        <v>171</v>
      </c>
      <c r="C6" s="15" t="n">
        <v>298500</v>
      </c>
      <c r="E6" s="15" t="n">
        <v>91</v>
      </c>
      <c r="G6" s="15" t="n">
        <v>22400</v>
      </c>
      <c r="I6" s="15" t="n">
        <v>20384</v>
      </c>
    </row>
    <row r="7" customFormat="false" ht="15" hidden="false" customHeight="false" outlineLevel="0" collapsed="false">
      <c r="A7" s="15" t="s">
        <v>172</v>
      </c>
      <c r="C7" s="15" t="n">
        <v>180200</v>
      </c>
      <c r="E7" s="15" t="n">
        <v>74.5</v>
      </c>
      <c r="G7" s="15" t="n">
        <v>13100</v>
      </c>
      <c r="I7" s="15" t="n">
        <v>9760</v>
      </c>
    </row>
    <row r="9" customFormat="false" ht="15" hidden="false" customHeight="false" outlineLevel="0" collapsed="false">
      <c r="A9" s="35" t="s">
        <v>165</v>
      </c>
      <c r="C9" s="35" t="s">
        <v>166</v>
      </c>
      <c r="E9" s="35" t="s">
        <v>115</v>
      </c>
      <c r="G9" s="35" t="s">
        <v>167</v>
      </c>
      <c r="I9" s="35" t="s">
        <v>168</v>
      </c>
    </row>
    <row r="10" customFormat="false" ht="15" hidden="false" customHeight="false" outlineLevel="0" collapsed="false">
      <c r="A10" s="2" t="s">
        <v>173</v>
      </c>
    </row>
    <row r="11" customFormat="false" ht="15" hidden="false" customHeight="false" outlineLevel="0" collapsed="false">
      <c r="A11" s="15" t="s">
        <v>174</v>
      </c>
      <c r="C11" s="15" t="n">
        <v>205000</v>
      </c>
      <c r="E11" s="15" t="n">
        <v>61.2</v>
      </c>
      <c r="G11" s="15" t="n">
        <v>15000</v>
      </c>
      <c r="I11" s="15" t="n">
        <v>9180</v>
      </c>
    </row>
    <row r="12" customFormat="false" ht="15" hidden="false" customHeight="false" outlineLevel="0" collapsed="false">
      <c r="A12" s="15" t="s">
        <v>175</v>
      </c>
      <c r="C12" s="15" t="n">
        <v>150700</v>
      </c>
      <c r="E12" s="15" t="n">
        <v>83.7</v>
      </c>
      <c r="G12" s="15" t="n">
        <v>11300</v>
      </c>
      <c r="I12" s="15" t="n">
        <v>9458</v>
      </c>
    </row>
    <row r="13" customFormat="false" ht="15" hidden="false" customHeight="false" outlineLevel="0" collapsed="false">
      <c r="A13" s="15" t="s">
        <v>99</v>
      </c>
      <c r="C13" s="15" t="n">
        <v>266000</v>
      </c>
      <c r="E13" s="15" t="n">
        <v>79.9</v>
      </c>
      <c r="G13" s="15" t="n">
        <v>19800</v>
      </c>
      <c r="I13" s="15" t="n">
        <v>15820</v>
      </c>
    </row>
    <row r="15" customFormat="false" ht="15" hidden="false" customHeight="false" outlineLevel="0" collapsed="false">
      <c r="A15" s="15" t="s">
        <v>176</v>
      </c>
      <c r="C15" s="15" t="n">
        <v>174300</v>
      </c>
      <c r="E15" s="15" t="s">
        <v>177</v>
      </c>
      <c r="G15" s="15" t="n">
        <v>12700</v>
      </c>
      <c r="I15" s="15" t="s">
        <v>178</v>
      </c>
    </row>
    <row r="16" customFormat="false" ht="15" hidden="false" customHeight="false" outlineLevel="0" collapsed="false">
      <c r="A16" s="15" t="s">
        <v>179</v>
      </c>
      <c r="C16" s="15" t="s">
        <v>180</v>
      </c>
      <c r="E16" s="15" t="s">
        <v>180</v>
      </c>
      <c r="G16" s="15" t="n">
        <v>8000</v>
      </c>
      <c r="I16" s="15" t="n">
        <v>0</v>
      </c>
    </row>
    <row r="18" customFormat="false" ht="15" hidden="false" customHeight="false" outlineLevel="0" collapsed="false">
      <c r="A18" s="2" t="s">
        <v>181</v>
      </c>
      <c r="G18" s="2" t="n">
        <v>125500</v>
      </c>
      <c r="I18" s="2" t="n">
        <v>103118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36" t="s">
        <v>182</v>
      </c>
    </row>
    <row r="2" customFormat="false" ht="15" hidden="false" customHeight="false" outlineLevel="0" collapsed="false">
      <c r="A2" s="37" t="s">
        <v>183</v>
      </c>
    </row>
    <row r="3" customFormat="false" ht="15" hidden="false" customHeight="false" outlineLevel="0" collapsed="false">
      <c r="A3" s="37" t="s">
        <v>184</v>
      </c>
    </row>
    <row r="4" customFormat="false" ht="15" hidden="false" customHeight="false" outlineLevel="0" collapsed="false">
      <c r="A4" s="37" t="s">
        <v>185</v>
      </c>
    </row>
    <row r="5" customFormat="false" ht="15" hidden="false" customHeight="false" outlineLevel="0" collapsed="false">
      <c r="A5" s="37" t="s">
        <v>186</v>
      </c>
    </row>
    <row r="6" customFormat="false" ht="15" hidden="false" customHeight="false" outlineLevel="0" collapsed="false">
      <c r="A6" s="37" t="s">
        <v>187</v>
      </c>
    </row>
    <row r="9" customFormat="false" ht="15" hidden="false" customHeight="false" outlineLevel="0" collapsed="false">
      <c r="A9" s="4" t="s">
        <v>188</v>
      </c>
    </row>
    <row r="10" customFormat="false" ht="15" hidden="false" customHeight="false" outlineLevel="0" collapsed="false">
      <c r="A10" s="35" t="s">
        <v>189</v>
      </c>
      <c r="B10" s="35" t="s">
        <v>190</v>
      </c>
      <c r="C10" s="35" t="s">
        <v>191</v>
      </c>
      <c r="D10" s="35" t="s">
        <v>53</v>
      </c>
    </row>
    <row r="11" customFormat="false" ht="15" hidden="false" customHeight="false" outlineLevel="0" collapsed="false">
      <c r="A11" s="15" t="s">
        <v>192</v>
      </c>
      <c r="B11" s="15" t="s">
        <v>193</v>
      </c>
      <c r="C11" s="38" t="n">
        <v>46132</v>
      </c>
      <c r="D11" s="15" t="s">
        <v>194</v>
      </c>
    </row>
    <row r="12" customFormat="false" ht="15" hidden="false" customHeight="false" outlineLevel="0" collapsed="false">
      <c r="A12" s="15" t="s">
        <v>195</v>
      </c>
      <c r="B12" s="15" t="s">
        <v>196</v>
      </c>
      <c r="C12" s="38" t="n">
        <v>46133</v>
      </c>
      <c r="D12" s="15" t="s">
        <v>197</v>
      </c>
    </row>
    <row r="13" customFormat="false" ht="15" hidden="false" customHeight="false" outlineLevel="0" collapsed="false">
      <c r="A13" s="15" t="s">
        <v>198</v>
      </c>
      <c r="B13" s="15" t="s">
        <v>199</v>
      </c>
      <c r="C13" s="15"/>
      <c r="D13" s="15" t="s">
        <v>200</v>
      </c>
    </row>
    <row r="14" customFormat="false" ht="15" hidden="false" customHeight="false" outlineLevel="0" collapsed="false">
      <c r="A14" s="15" t="s">
        <v>201</v>
      </c>
      <c r="B14" s="15" t="s">
        <v>202</v>
      </c>
      <c r="C14" s="38" t="n">
        <v>46139</v>
      </c>
      <c r="D14" s="15" t="s">
        <v>194</v>
      </c>
    </row>
    <row r="16" customFormat="false" ht="15" hidden="false" customHeight="false" outlineLevel="0" collapsed="false">
      <c r="A16" s="4" t="s">
        <v>203</v>
      </c>
    </row>
    <row r="17" customFormat="false" ht="15" hidden="false" customHeight="false" outlineLevel="0" collapsed="false">
      <c r="A17" s="39" t="s">
        <v>204</v>
      </c>
    </row>
  </sheetData>
  <hyperlinks>
    <hyperlink ref="A17" r:id="rId1" display="Finance share driv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205</v>
      </c>
    </row>
    <row r="2" customFormat="false" ht="15" hidden="false" customHeight="false" outlineLevel="0" collapsed="false">
      <c r="A2" s="35" t="s">
        <v>9</v>
      </c>
      <c r="B2" s="35" t="s">
        <v>206</v>
      </c>
      <c r="C2" s="35" t="s">
        <v>207</v>
      </c>
    </row>
    <row r="3" customFormat="false" ht="15" hidden="false" customHeight="false" outlineLevel="0" collapsed="false">
      <c r="A3" s="15" t="s">
        <v>13</v>
      </c>
      <c r="B3" s="15" t="n">
        <v>412</v>
      </c>
      <c r="C3" s="15" t="n">
        <v>388</v>
      </c>
    </row>
    <row r="4" customFormat="false" ht="15" hidden="false" customHeight="false" outlineLevel="0" collapsed="false">
      <c r="A4" s="15" t="s">
        <v>15</v>
      </c>
      <c r="B4" s="15" t="n">
        <v>438</v>
      </c>
      <c r="C4" s="15" t="n">
        <v>402</v>
      </c>
    </row>
    <row r="5" customFormat="false" ht="15" hidden="false" customHeight="false" outlineLevel="0" collapsed="false">
      <c r="A5" s="15" t="s">
        <v>17</v>
      </c>
      <c r="B5" s="15" t="n">
        <v>501</v>
      </c>
      <c r="C5" s="15" t="n">
        <v>455</v>
      </c>
    </row>
    <row r="6" customFormat="false" ht="15" hidden="false" customHeight="false" outlineLevel="0" collapsed="false">
      <c r="A6" s="15" t="s">
        <v>19</v>
      </c>
      <c r="B6" s="15" t="n">
        <v>476</v>
      </c>
      <c r="C6" s="15" t="n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208</v>
      </c>
    </row>
    <row r="2" customFormat="false" ht="15" hidden="false" customHeight="false" outlineLevel="0" collapsed="false">
      <c r="A2" s="15" t="s">
        <v>157</v>
      </c>
      <c r="B2" s="15" t="n">
        <v>83.4</v>
      </c>
    </row>
    <row r="3" customFormat="false" ht="15" hidden="false" customHeight="false" outlineLevel="0" collapsed="false">
      <c r="A3" s="15" t="s">
        <v>209</v>
      </c>
      <c r="B3" s="15" t="n">
        <v>90.27</v>
      </c>
    </row>
    <row r="4" customFormat="false" ht="15" hidden="false" customHeight="false" outlineLevel="0" collapsed="false">
      <c r="A4" s="15" t="s">
        <v>210</v>
      </c>
      <c r="B4" s="15" t="n">
        <v>22.71</v>
      </c>
    </row>
    <row r="5" customFormat="false" ht="15" hidden="false" customHeight="false" outlineLevel="0" collapsed="false">
      <c r="A5" s="15" t="s">
        <v>211</v>
      </c>
      <c r="B5" s="15" t="n">
        <v>62.01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212</v>
      </c>
    </row>
    <row r="2" customFormat="false" ht="15" hidden="false" customHeight="false" outlineLevel="0" collapsed="false">
      <c r="A2" s="15" t="s">
        <v>213</v>
      </c>
      <c r="B2" s="15" t="s">
        <v>12</v>
      </c>
    </row>
    <row r="3" customFormat="false" ht="15" hidden="false" customHeight="false" outlineLevel="0" collapsed="false">
      <c r="A3" s="15" t="s">
        <v>214</v>
      </c>
      <c r="B3" s="15" t="s">
        <v>14</v>
      </c>
    </row>
    <row r="4" customFormat="false" ht="15" hidden="false" customHeight="false" outlineLevel="0" collapsed="false">
      <c r="A4" s="15" t="s">
        <v>215</v>
      </c>
      <c r="B4" s="15" t="s">
        <v>16</v>
      </c>
    </row>
    <row r="5" customFormat="false" ht="15" hidden="false" customHeight="false" outlineLevel="0" collapsed="false">
      <c r="A5" s="15" t="s">
        <v>216</v>
      </c>
      <c r="B5" s="15" t="s">
        <v>18</v>
      </c>
    </row>
    <row r="6" customFormat="false" ht="15" hidden="false" customHeight="false" outlineLevel="0" collapsed="false">
      <c r="A6" s="15" t="s">
        <v>217</v>
      </c>
      <c r="B6" s="1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2026-10-08T09:34:49Z</dcterms:created>
  <dc:creator/>
  <dc:description/>
  <dc:language>en-US</dc:language>
  <cp:lastModifiedBy/>
  <dcterms:modified xsi:type="dcterms:W3CDTF">2026-10-08T09:34:51Z</dcterms:modified>
  <cp:revision>1</cp:revision>
  <dc:subject/>
  <dc:title>Book3 (copy) FINAL v7 USE THIS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